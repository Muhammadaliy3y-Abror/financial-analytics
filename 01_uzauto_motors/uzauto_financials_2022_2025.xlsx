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44629E0-C1AE-407C-B680-6C6AFC64E0AB}" xr6:coauthVersionLast="47" xr6:coauthVersionMax="47" xr10:uidLastSave="{00000000-0000-0000-0000-000000000000}"/>
  <bookViews>
    <workbookView xWindow="-108" yWindow="-108" windowWidth="23256" windowHeight="12456" xr2:uid="{2DD5579A-7E0B-4E86-84BE-94188A289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" l="1"/>
  <c r="D15" i="1"/>
  <c r="E15" i="1"/>
  <c r="B15" i="1"/>
  <c r="C14" i="1"/>
  <c r="D14" i="1"/>
  <c r="E14" i="1"/>
  <c r="B14" i="1"/>
  <c r="E12" i="1"/>
  <c r="E13" i="1"/>
  <c r="E11" i="1"/>
  <c r="D12" i="1"/>
  <c r="D13" i="1"/>
  <c r="D11" i="1"/>
  <c r="C12" i="1"/>
  <c r="C13" i="1"/>
  <c r="C11" i="1"/>
  <c r="B13" i="1"/>
  <c r="B12" i="1"/>
  <c r="B11" i="1"/>
  <c r="F6" i="1"/>
  <c r="F7" i="1"/>
  <c r="H7" i="1"/>
  <c r="G7" i="1"/>
  <c r="H6" i="1"/>
  <c r="G6" i="1"/>
  <c r="F3" i="1"/>
  <c r="F4" i="1"/>
  <c r="F5" i="1"/>
  <c r="F2" i="1"/>
  <c r="H3" i="1"/>
  <c r="H4" i="1"/>
  <c r="H5" i="1"/>
  <c r="G3" i="1"/>
  <c r="G4" i="1"/>
  <c r="G5" i="1"/>
  <c r="G2" i="1"/>
  <c r="H2" i="1"/>
</calcChain>
</file>

<file path=xl/sharedStrings.xml><?xml version="1.0" encoding="utf-8"?>
<sst xmlns="http://schemas.openxmlformats.org/spreadsheetml/2006/main" count="24" uniqueCount="24">
  <si>
    <t>FY 2024</t>
  </si>
  <si>
    <t>FY 2025</t>
  </si>
  <si>
    <t>Net Revenue</t>
  </si>
  <si>
    <t>FY 2023</t>
  </si>
  <si>
    <t>YoY Change 24-25</t>
  </si>
  <si>
    <t>YoY Change 23-24</t>
  </si>
  <si>
    <t>FY 2022</t>
  </si>
  <si>
    <t>Gross Profit</t>
  </si>
  <si>
    <t>Operating Profit</t>
  </si>
  <si>
    <t>Net Income</t>
  </si>
  <si>
    <t>YoY Change 22-23</t>
  </si>
  <si>
    <t>Total Assets</t>
  </si>
  <si>
    <t>Total Equity</t>
  </si>
  <si>
    <t>Key Financial Ratio</t>
  </si>
  <si>
    <t>Gross Margin %</t>
  </si>
  <si>
    <t>Operating Margin %</t>
  </si>
  <si>
    <t>Net Profit Margin %</t>
  </si>
  <si>
    <t>Return on Assets (ROA)</t>
  </si>
  <si>
    <t>Return on Equity (ROE)</t>
  </si>
  <si>
    <t>FY 2022 (M)</t>
  </si>
  <si>
    <t>FY 2023 (M)</t>
  </si>
  <si>
    <t>FY 2024 (M)</t>
  </si>
  <si>
    <t>FY 2025 (M)</t>
  </si>
  <si>
    <t>Metric (in $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</si>
</sst>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_);[Red]\(&quot;$&quot;#,##0.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1" applyNumberFormat="1" applyFont="1"/>
    <xf numFmtId="0" fontId="0" fillId="2" borderId="0" xfId="0" applyFill="1"/>
    <xf numFmtId="10" fontId="0" fillId="2" borderId="0" xfId="0" applyNumberFormat="1" applyFill="1"/>
    <xf numFmtId="10" fontId="0" fillId="2" borderId="0" xfId="1" applyNumberFormat="1" applyFont="1" applyFill="1"/>
    <xf numFmtId="0" fontId="0" fillId="3" borderId="0" xfId="0" applyFill="1" applyAlignment="1">
      <alignment wrapText="1"/>
    </xf>
    <xf numFmtId="0" fontId="0" fillId="3" borderId="0" xfId="0" applyFill="1"/>
    <xf numFmtId="10" fontId="0" fillId="3" borderId="0" xfId="1" applyNumberFormat="1" applyFont="1" applyFill="1"/>
    <xf numFmtId="6" fontId="0" fillId="3" borderId="0" xfId="0" applyNumberFormat="1" applyFill="1"/>
    <xf numFmtId="164" fontId="0" fillId="3" borderId="0" xfId="0" applyNumberFormat="1" applyFill="1"/>
    <xf numFmtId="8" fontId="0" fillId="3" borderId="0" xfId="0" applyNumberFormat="1" applyFill="1"/>
    <xf numFmtId="10" fontId="0" fillId="3" borderId="0" xfId="0" applyNumberFormat="1" applyFill="1"/>
    <xf numFmtId="8" fontId="0" fillId="3" borderId="0" xfId="1" applyNumberFormat="1" applyFont="1" applyFill="1"/>
    <xf numFmtId="6" fontId="0" fillId="3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UzAuto Motors: Profitability Margin Analysis (2022–2025)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Sheet1!$B$10:$E$10</c:f>
              <c:strCache>
                <c:ptCount val="4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</c:strCache>
            </c:strRef>
          </c:cat>
          <c:val>
            <c:numRef>
              <c:f>Sheet1!$B$11:$E$11</c:f>
              <c:numCache>
                <c:formatCode>0.00%</c:formatCode>
                <c:ptCount val="4"/>
                <c:pt idx="0">
                  <c:v>0.14723926380368099</c:v>
                </c:pt>
                <c:pt idx="1">
                  <c:v>0.12552808988764044</c:v>
                </c:pt>
                <c:pt idx="2">
                  <c:v>0.13854761904761903</c:v>
                </c:pt>
                <c:pt idx="3">
                  <c:v>0.1121219512195122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1-4E51-BE73-34CC89B3A665}"/>
            </c:ext>
          </c:extLst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Sheet1!$B$10:$E$10</c:f>
              <c:strCache>
                <c:ptCount val="4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</c:strCache>
            </c:strRef>
          </c:cat>
          <c:val>
            <c:numRef>
              <c:f>Sheet1!$B$12:$E$12</c:f>
              <c:numCache>
                <c:formatCode>0.00%</c:formatCode>
                <c:ptCount val="4"/>
                <c:pt idx="0">
                  <c:v>9.5092024539877307E-2</c:v>
                </c:pt>
                <c:pt idx="1">
                  <c:v>8.202247191011236E-2</c:v>
                </c:pt>
                <c:pt idx="2">
                  <c:v>9.1261904761904766E-2</c:v>
                </c:pt>
                <c:pt idx="3">
                  <c:v>7.134146341463414E-2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1-4E51-BE73-34CC89B3A665}"/>
            </c:ext>
          </c:extLst>
        </c:ser>
        <c:ser>
          <c:idx val="2"/>
          <c:order val="2"/>
          <c:tx>
            <c:strRef>
              <c:f>Sheet1!$A$13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Sheet1!$B$10:$E$10</c:f>
              <c:strCache>
                <c:ptCount val="4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</c:strCache>
            </c:strRef>
          </c:cat>
          <c:val>
            <c:numRef>
              <c:f>Sheet1!$B$13:$E$13</c:f>
              <c:numCache>
                <c:formatCode>0.00%</c:formatCode>
                <c:ptCount val="4"/>
                <c:pt idx="0">
                  <c:v>7.2116564417177911E-2</c:v>
                </c:pt>
                <c:pt idx="1">
                  <c:v>7.4966292134831469E-2</c:v>
                </c:pt>
                <c:pt idx="2">
                  <c:v>7.4976190476190474E-2</c:v>
                </c:pt>
                <c:pt idx="3">
                  <c:v>8.2829268292682931E-2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1-4E51-BE73-34CC89B3A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307488"/>
        <c:axId val="792308448"/>
      </c:lineChart>
      <c:catAx>
        <c:axId val="79230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308448"/>
        <c:crosses val="autoZero"/>
        <c:auto val="1"/>
        <c:lblAlgn val="ctr"/>
        <c:lblOffset val="100"/>
        <c:noMultiLvlLbl val="0"/>
      </c:catAx>
      <c:valAx>
        <c:axId val="79230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30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UzAuto Motors: Revenue vs. Net Income Trend (2022–2025)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FY 2022 (M)</c:v>
                </c:pt>
                <c:pt idx="1">
                  <c:v>FY 2023 (M)</c:v>
                </c:pt>
                <c:pt idx="2">
                  <c:v>FY 2024 (M)</c:v>
                </c:pt>
                <c:pt idx="3">
                  <c:v>FY 2025 (M)</c:v>
                </c:pt>
              </c:strCache>
            </c:strRef>
          </c:cat>
          <c:val>
            <c:numRef>
              <c:f>Sheet1!$B$2:$E$2</c:f>
              <c:numCache>
                <c:formatCode>"$"#,##0.0_);[Red]\("$"#,##0.0\)</c:formatCode>
                <c:ptCount val="4"/>
                <c:pt idx="0" formatCode="&quot;$&quot;#,##0_);[Red]\(&quot;$&quot;#,##0\)">
                  <c:v>3260</c:v>
                </c:pt>
                <c:pt idx="1">
                  <c:v>4450</c:v>
                </c:pt>
                <c:pt idx="2" formatCode="&quot;$&quot;#,##0.00_);[Red]\(&quot;$&quot;#,##0.00\)">
                  <c:v>4200</c:v>
                </c:pt>
                <c:pt idx="3" formatCode="&quot;$&quot;#,##0.00_);[Red]\(&quot;$&quot;#,##0.00\)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0-4117-B244-CA108DAA8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102864"/>
        <c:axId val="763103344"/>
      </c:barChart>
      <c:lineChart>
        <c:grouping val="standard"/>
        <c:varyColors val="0"/>
        <c:ser>
          <c:idx val="1"/>
          <c:order val="1"/>
          <c:tx>
            <c:strRef>
              <c:f>Sheet1!$A$5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Sheet1!$B$1:$E$1</c:f>
              <c:strCache>
                <c:ptCount val="4"/>
                <c:pt idx="0">
                  <c:v>FY 2022 (M)</c:v>
                </c:pt>
                <c:pt idx="1">
                  <c:v>FY 2023 (M)</c:v>
                </c:pt>
                <c:pt idx="2">
                  <c:v>FY 2024 (M)</c:v>
                </c:pt>
                <c:pt idx="3">
                  <c:v>FY 2025 (M)</c:v>
                </c:pt>
              </c:strCache>
            </c:strRef>
          </c:cat>
          <c:val>
            <c:numRef>
              <c:f>Sheet1!$B$5:$E$5</c:f>
              <c:numCache>
                <c:formatCode>"$"#,##0.00_);[Red]\("$"#,##0.00\)</c:formatCode>
                <c:ptCount val="4"/>
                <c:pt idx="0">
                  <c:v>235.1</c:v>
                </c:pt>
                <c:pt idx="1">
                  <c:v>333.6</c:v>
                </c:pt>
                <c:pt idx="2">
                  <c:v>314.89999999999998</c:v>
                </c:pt>
                <c:pt idx="3">
                  <c:v>339.6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0-4117-B244-CA108DAA8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347552"/>
        <c:axId val="767021296"/>
      </c:lineChart>
      <c:catAx>
        <c:axId val="76310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03344"/>
        <c:crosses val="autoZero"/>
        <c:auto val="1"/>
        <c:lblAlgn val="ctr"/>
        <c:lblOffset val="100"/>
        <c:noMultiLvlLbl val="0"/>
      </c:catAx>
      <c:valAx>
        <c:axId val="7631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02864"/>
        <c:crosses val="autoZero"/>
        <c:crossBetween val="between"/>
      </c:valAx>
      <c:valAx>
        <c:axId val="767021296"/>
        <c:scaling>
          <c:orientation val="minMax"/>
        </c:scaling>
        <c:delete val="0"/>
        <c:axPos val="r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47552"/>
        <c:crosses val="max"/>
        <c:crossBetween val="between"/>
      </c:valAx>
      <c:catAx>
        <c:axId val="673347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7021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UzAuto Motors: Capital Structure Expansion (2022–2025)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FY 2022 (M)</c:v>
                </c:pt>
                <c:pt idx="1">
                  <c:v>FY 2023 (M)</c:v>
                </c:pt>
                <c:pt idx="2">
                  <c:v>FY 2024 (M)</c:v>
                </c:pt>
                <c:pt idx="3">
                  <c:v>FY 2025 (M)</c:v>
                </c:pt>
              </c:strCache>
            </c:strRef>
          </c:cat>
          <c:val>
            <c:numRef>
              <c:f>Sheet1!$B$6:$E$6</c:f>
              <c:numCache>
                <c:formatCode>"$"#,##0_);[Red]\("$"#,##0\)</c:formatCode>
                <c:ptCount val="4"/>
                <c:pt idx="0">
                  <c:v>2100</c:v>
                </c:pt>
                <c:pt idx="1">
                  <c:v>2350</c:v>
                </c:pt>
                <c:pt idx="2">
                  <c:v>2500</c:v>
                </c:pt>
                <c:pt idx="3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1-4994-9458-03F0AAC8533D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FY 2022 (M)</c:v>
                </c:pt>
                <c:pt idx="1">
                  <c:v>FY 2023 (M)</c:v>
                </c:pt>
                <c:pt idx="2">
                  <c:v>FY 2024 (M)</c:v>
                </c:pt>
                <c:pt idx="3">
                  <c:v>FY 2025 (M)</c:v>
                </c:pt>
              </c:strCache>
            </c:strRef>
          </c:cat>
          <c:val>
            <c:numRef>
              <c:f>Sheet1!$B$7:$E$7</c:f>
              <c:numCache>
                <c:formatCode>"$"#,##0_);[Red]\("$"#,##0\)</c:formatCode>
                <c:ptCount val="4"/>
                <c:pt idx="0">
                  <c:v>650</c:v>
                </c:pt>
                <c:pt idx="1">
                  <c:v>780</c:v>
                </c:pt>
                <c:pt idx="2" formatCode="&quot;$&quot;#,##0.00_);[Red]\(&quot;$&quot;#,##0.00\)">
                  <c:v>908.8</c:v>
                </c:pt>
                <c:pt idx="3" formatCode="&quot;$&quot;#,##0.00_);[Red]\(&quot;$&quot;#,##0.00\)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1-4994-9458-03F0AAC85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989840"/>
        <c:axId val="1420992240"/>
      </c:barChart>
      <c:catAx>
        <c:axId val="142098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92240"/>
        <c:crosses val="autoZero"/>
        <c:auto val="1"/>
        <c:lblAlgn val="ctr"/>
        <c:lblOffset val="100"/>
        <c:noMultiLvlLbl val="0"/>
      </c:catAx>
      <c:valAx>
        <c:axId val="142099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8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587826</xdr:colOff>
      <xdr:row>15</xdr:row>
      <xdr:rowOff>175903</xdr:rowOff>
    </xdr:from>
    <xdr:to>
      <xdr:col>10</xdr:col>
      <xdr:colOff>569156</xdr:colOff>
      <xdr:row>30</xdr:row>
      <xdr:rowOff>179682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DCBA8E-666D-5B85-A7F9-048B827AD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42411</xdr:colOff>
      <xdr:row>15</xdr:row>
      <xdr:rowOff>174784</xdr:rowOff>
    </xdr:from>
    <xdr:to>
      <xdr:col>5</xdr:col>
      <xdr:colOff>368982</xdr:colOff>
      <xdr:row>30</xdr:row>
      <xdr:rowOff>118800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5897C6-BFB9-1C86-B019-C7AB8B55F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212263</xdr:colOff>
      <xdr:row>15</xdr:row>
      <xdr:rowOff>174001</xdr:rowOff>
    </xdr:from>
    <xdr:to>
      <xdr:col>18</xdr:col>
      <xdr:colOff>506001</xdr:colOff>
      <xdr:row>30</xdr:row>
      <xdr:rowOff>170456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D47CF-9467-CB2E-3ED5-C39A303C3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2E31-B216-4A2D-9212-D69DEDBF0D9B}">
  <dimension ref="A1:H15"/>
  <sheetViews>
    <sheetView tabSelected="1" zoomScale="87" zoomScaleNormal="140" workbookViewId="0">
      <selection activeCell="T19" sqref="T19"/>
    </sheetView>
  </sheetViews>
  <sheetFormatPr defaultRowHeight="14.4" x14ac:dyDescent="0.3"/>
  <cols>
    <col min="1" max="1" width="19.5546875" customWidth="1"/>
    <col min="2" max="3" width="10.6640625" customWidth="1"/>
    <col min="4" max="4" width="10.5546875" style="1" customWidth="1"/>
    <col min="5" max="5" width="11.109375" style="1" customWidth="1"/>
    <col min="6" max="6" width="15.88671875" customWidth="1"/>
    <col min="7" max="7" width="16.44140625" customWidth="1"/>
    <col min="8" max="8" width="16.77734375" customWidth="1"/>
  </cols>
  <sheetData>
    <row r="1" spans="1:8" x14ac:dyDescent="0.3">
      <c r="A1" s="5" t="s">
        <v>23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10</v>
      </c>
      <c r="G1" s="7" t="s">
        <v>5</v>
      </c>
      <c r="H1" s="7" t="s">
        <v>4</v>
      </c>
    </row>
    <row r="2" spans="1:8" x14ac:dyDescent="0.3">
      <c r="A2" s="6" t="s">
        <v>2</v>
      </c>
      <c r="B2" s="8">
        <v>3260</v>
      </c>
      <c r="C2" s="9">
        <v>4450</v>
      </c>
      <c r="D2" s="10">
        <v>4200</v>
      </c>
      <c r="E2" s="10">
        <v>4100</v>
      </c>
      <c r="F2" s="11">
        <f>(C2-B2)/B2</f>
        <v>0.36503067484662577</v>
      </c>
      <c r="G2" s="7">
        <f>(D2-C2)/C2</f>
        <v>-5.6179775280898875E-2</v>
      </c>
      <c r="H2" s="7">
        <f>(E2-D2)/D2</f>
        <v>-2.3809523809523808E-2</v>
      </c>
    </row>
    <row r="3" spans="1:8" x14ac:dyDescent="0.3">
      <c r="A3" s="6" t="s">
        <v>7</v>
      </c>
      <c r="B3" s="8">
        <v>480</v>
      </c>
      <c r="C3" s="10">
        <v>558.6</v>
      </c>
      <c r="D3" s="12">
        <v>581.9</v>
      </c>
      <c r="E3" s="12">
        <v>459.7</v>
      </c>
      <c r="F3" s="11">
        <f t="shared" ref="F3:F7" si="0">(C3-B3)/B3</f>
        <v>0.16375000000000003</v>
      </c>
      <c r="G3" s="7">
        <f t="shared" ref="G3:H7" si="1">(D3-C3)/C3</f>
        <v>4.1711421410669448E-2</v>
      </c>
      <c r="H3" s="7">
        <f t="shared" si="1"/>
        <v>-0.21000171850833477</v>
      </c>
    </row>
    <row r="4" spans="1:8" x14ac:dyDescent="0.3">
      <c r="A4" s="6" t="s">
        <v>8</v>
      </c>
      <c r="B4" s="8">
        <v>310</v>
      </c>
      <c r="C4" s="8">
        <v>365</v>
      </c>
      <c r="D4" s="12">
        <v>383.3</v>
      </c>
      <c r="E4" s="12">
        <v>292.5</v>
      </c>
      <c r="F4" s="11">
        <f t="shared" si="0"/>
        <v>0.17741935483870969</v>
      </c>
      <c r="G4" s="7">
        <f t="shared" si="1"/>
        <v>5.0136986301369896E-2</v>
      </c>
      <c r="H4" s="7">
        <f t="shared" si="1"/>
        <v>-0.23689016436211846</v>
      </c>
    </row>
    <row r="5" spans="1:8" x14ac:dyDescent="0.3">
      <c r="A5" s="6" t="s">
        <v>9</v>
      </c>
      <c r="B5" s="10">
        <v>235.1</v>
      </c>
      <c r="C5" s="10">
        <v>333.6</v>
      </c>
      <c r="D5" s="12">
        <v>314.89999999999998</v>
      </c>
      <c r="E5" s="12">
        <v>339.6</v>
      </c>
      <c r="F5" s="11">
        <f t="shared" si="0"/>
        <v>0.41897065078689932</v>
      </c>
      <c r="G5" s="7">
        <f t="shared" si="1"/>
        <v>-5.605515587529989E-2</v>
      </c>
      <c r="H5" s="7">
        <f t="shared" si="1"/>
        <v>7.8437599237853442E-2</v>
      </c>
    </row>
    <row r="6" spans="1:8" x14ac:dyDescent="0.3">
      <c r="A6" s="6" t="s">
        <v>11</v>
      </c>
      <c r="B6" s="8">
        <v>2100</v>
      </c>
      <c r="C6" s="8">
        <v>2350</v>
      </c>
      <c r="D6" s="13">
        <v>2500</v>
      </c>
      <c r="E6" s="13">
        <v>2600</v>
      </c>
      <c r="F6" s="11">
        <f t="shared" si="0"/>
        <v>0.11904761904761904</v>
      </c>
      <c r="G6" s="7">
        <f t="shared" si="1"/>
        <v>6.3829787234042548E-2</v>
      </c>
      <c r="H6" s="7">
        <f t="shared" si="1"/>
        <v>0.04</v>
      </c>
    </row>
    <row r="7" spans="1:8" x14ac:dyDescent="0.3">
      <c r="A7" s="6" t="s">
        <v>12</v>
      </c>
      <c r="B7" s="8">
        <v>650</v>
      </c>
      <c r="C7" s="8">
        <v>780</v>
      </c>
      <c r="D7" s="12">
        <v>908.8</v>
      </c>
      <c r="E7" s="12">
        <v>1300</v>
      </c>
      <c r="F7" s="11">
        <f t="shared" si="0"/>
        <v>0.2</v>
      </c>
      <c r="G7" s="7">
        <f t="shared" si="1"/>
        <v>0.16512820512820506</v>
      </c>
      <c r="H7" s="7">
        <f t="shared" si="1"/>
        <v>0.4304577464788733</v>
      </c>
    </row>
    <row r="10" spans="1:8" x14ac:dyDescent="0.3">
      <c r="A10" s="2" t="s">
        <v>13</v>
      </c>
      <c r="B10" s="3" t="s">
        <v>6</v>
      </c>
      <c r="C10" s="2" t="s">
        <v>3</v>
      </c>
      <c r="D10" s="4" t="s">
        <v>0</v>
      </c>
      <c r="E10" s="4" t="s">
        <v>1</v>
      </c>
    </row>
    <row r="11" spans="1:8" x14ac:dyDescent="0.3">
      <c r="A11" s="2" t="s">
        <v>14</v>
      </c>
      <c r="B11" s="3">
        <f>B3/B$2</f>
        <v>0.14723926380368099</v>
      </c>
      <c r="C11" s="3">
        <f>C3/C$2</f>
        <v>0.12552808988764044</v>
      </c>
      <c r="D11" s="4">
        <f>D3/D$2</f>
        <v>0.13854761904761903</v>
      </c>
      <c r="E11" s="4">
        <f>E3/E$2</f>
        <v>0.1121219512195122</v>
      </c>
    </row>
    <row r="12" spans="1:8" x14ac:dyDescent="0.3">
      <c r="A12" s="2" t="s">
        <v>15</v>
      </c>
      <c r="B12" s="3">
        <f>B4/B$2</f>
        <v>9.5092024539877307E-2</v>
      </c>
      <c r="C12" s="3">
        <f t="shared" ref="C12:E13" si="2">C4/C$2</f>
        <v>8.202247191011236E-2</v>
      </c>
      <c r="D12" s="4">
        <f t="shared" si="2"/>
        <v>9.1261904761904766E-2</v>
      </c>
      <c r="E12" s="4">
        <f t="shared" si="2"/>
        <v>7.134146341463414E-2</v>
      </c>
    </row>
    <row r="13" spans="1:8" x14ac:dyDescent="0.3">
      <c r="A13" s="2" t="s">
        <v>16</v>
      </c>
      <c r="B13" s="3">
        <f>B5/B$2</f>
        <v>7.2116564417177911E-2</v>
      </c>
      <c r="C13" s="3">
        <f t="shared" si="2"/>
        <v>7.4966292134831469E-2</v>
      </c>
      <c r="D13" s="4">
        <f t="shared" si="2"/>
        <v>7.4976190476190474E-2</v>
      </c>
      <c r="E13" s="4">
        <f t="shared" si="2"/>
        <v>8.2829268292682931E-2</v>
      </c>
    </row>
    <row r="14" spans="1:8" x14ac:dyDescent="0.3">
      <c r="A14" s="2" t="s">
        <v>17</v>
      </c>
      <c r="B14" s="3">
        <f>B5/B6</f>
        <v>0.11195238095238096</v>
      </c>
      <c r="C14" s="3">
        <f t="shared" ref="C14:E14" si="3">C5/C6</f>
        <v>0.14195744680851063</v>
      </c>
      <c r="D14" s="3">
        <f t="shared" si="3"/>
        <v>0.12595999999999999</v>
      </c>
      <c r="E14" s="3">
        <f t="shared" si="3"/>
        <v>0.13061538461538463</v>
      </c>
    </row>
    <row r="15" spans="1:8" x14ac:dyDescent="0.3">
      <c r="A15" s="2" t="s">
        <v>18</v>
      </c>
      <c r="B15" s="3">
        <f>B5/B7</f>
        <v>0.3616923076923077</v>
      </c>
      <c r="C15" s="3">
        <f t="shared" ref="C15:E15" si="4">C5/C7</f>
        <v>0.4276923076923077</v>
      </c>
      <c r="D15" s="3">
        <f t="shared" si="4"/>
        <v>0.34650088028169013</v>
      </c>
      <c r="E15" s="3">
        <f t="shared" si="4"/>
        <v>0.26123076923076927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Abror Muhammadaliyev</dc:creator>
  <cp:lastModifiedBy>Abror Muhammadaliyev</cp:lastModifiedBy>
  <dcterms:created xsi:type="dcterms:W3CDTF">2026-09-13T10:28:22Z</dcterms:created>
  <dcterms:modified xsi:type="dcterms:W3CDTF">2026-09-13T19:14:33Z</dcterms:modified>
</cp:coreProperties>
</file>